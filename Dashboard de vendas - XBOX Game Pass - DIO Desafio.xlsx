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7A0F52B5-B78A-4F95-8E56-37CBEF08464A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3" l="1"/>
  <c r="D25" i="3"/>
</calcChain>
</file>

<file path=xl/sharedStrings.xml><?xml version="1.0" encoding="utf-8"?>
<sst xmlns="http://schemas.openxmlformats.org/spreadsheetml/2006/main" count="2018" uniqueCount="323">
  <si>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</si>
  <si>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</si>
  <si>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</si>
  <si>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</si>
  <si>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</si>
  <si>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</si>
  <si>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</si>
  <si>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</si>
  <si>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</si>
  <si>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</si>
  <si>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</si>
  <si>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</si>
  <si>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</si>
  <si>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</si>
  <si>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</si>
  <si>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</si>
  <si>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</si>
  <si>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</si>
  <si>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</si>
  <si>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</si>
  <si>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</si>
  <si>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</si>
  <si>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</si>
  <si>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</si>
  <si>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</si>
  <si>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</si>
  <si>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</si>
  <si>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</si>
  <si>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</si>
  <si>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</si>
  <si>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</si>
  <si>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</si>
  <si>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</si>
  <si>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</si>
  <si>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</si>
  <si>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</si>
  <si>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</si>
  <si>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</si>
  <si>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</si>
  <si>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</si>
  <si>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</si>
  <si>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</si>
  <si>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</si>
  <si>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</si>
  <si>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</si>
  <si>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</si>
  <si>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</si>
  <si>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</si>
  <si>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</si>
  <si>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</si>
  <si>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</si>
  <si>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</si>
  <si>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</si>
  <si>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</si>
  <si>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</si>
  <si>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</si>
  <si>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</si>
  <si>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</si>
  <si>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</si>
  <si>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</si>
  <si>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</si>
  <si>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</si>
  <si>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</si>
  <si>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</si>
  <si>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</si>
  <si>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</si>
  <si>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</si>
  <si>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</si>
  <si>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</si>
  <si>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</si>
  <si>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</si>
  <si>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</si>
  <si>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</si>
  <si>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</si>
  <si>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</si>
  <si>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</si>
  <si>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</si>
  <si>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</si>
  <si>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</si>
  <si>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</si>
  <si>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</si>
  <si>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</si>
  <si>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</si>
  <si>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</si>
  <si>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</si>
  <si>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</si>
  <si>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</si>
  <si>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</si>
  <si>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</si>
  <si>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</si>
  <si>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</si>
  <si>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</si>
  <si>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</si>
  <si>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</si>
  <si>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</si>
  <si>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</si>
  <si>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</si>
  <si>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</si>
  <si>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</si>
  <si>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</si>
  <si>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</si>
  <si>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</si>
  <si>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</si>
  <si>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</si>
  <si>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</si>
  <si>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</si>
  <si>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</si>
  <si>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</si>
  <si>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</si>
  <si>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</si>
  <si>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</si>
  <si>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</si>
  <si>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</si>
  <si>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</si>
  <si>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</si>
  <si>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</si>
  <si>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</si>
  <si>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</si>
  <si>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</si>
  <si>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</si>
  <si>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</si>
  <si>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</si>
  <si>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</si>
  <si>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</si>
  <si>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</si>
  <si>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</si>
  <si>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</si>
  <si>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</si>
  <si>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</si>
  <si>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</si>
  <si>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</si>
  <si>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</si>
  <si>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</si>
  <si>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</si>
  <si>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</si>
  <si>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</si>
  <si>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</si>
  <si>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</si>
  <si>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</si>
  <si>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</si>
  <si>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</si>
  <si>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</si>
  <si>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</si>
  <si>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</si>
  <si>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</si>
  <si>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</si>
  <si>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</si>
  <si>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</si>
  <si>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</si>
  <si>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</si>
  <si>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</si>
  <si>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</si>
  <si>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</si>
  <si>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</si>
  <si>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</si>
  <si>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</si>
  <si>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</si>
  <si>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</si>
  <si>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</si>
  <si>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</si>
  <si>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</si>
  <si>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</si>
  <si>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</si>
  <si>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</si>
  <si>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</si>
  <si>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</si>
  <si>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</si>
  <si>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</si>
  <si>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</si>
  <si>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</si>
  <si>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</si>
  <si>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</si>
  <si>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</si>
  <si>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</si>
  <si>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</si>
  <si>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</si>
  <si>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</si>
  <si>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</si>
  <si>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</si>
  <si>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</si>
  <si>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</si>
  <si>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</si>
  <si>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</si>
  <si>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</si>
  <si>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</si>
  <si>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</si>
  <si>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</si>
  <si>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</si>
  <si>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</si>
  <si>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</si>
  <si>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</si>
  <si>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</si>
  <si>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</si>
  <si>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</si>
  <si>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</si>
  <si>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</si>
  <si>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</si>
  <si>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</si>
  <si>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</si>
  <si>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</si>
  <si>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</si>
  <si>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</si>
  <si>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</si>
  <si>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</si>
  <si>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</si>
  <si>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</si>
  <si>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</si>
  <si>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</si>
  <si>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</si>
  <si>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</si>
  <si>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</si>
  <si>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</si>
  <si>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</si>
  <si>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</si>
  <si>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</si>
  <si>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</si>
  <si>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</si>
  <si>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</si>
  <si>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</si>
  <si>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</si>
  <si>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</si>
  <si>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</si>
  <si>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</si>
  <si>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</si>
  <si>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</si>
  <si>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</si>
  <si>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</si>
  <si>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</si>
  <si>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</si>
  <si>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</si>
  <si>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</si>
  <si>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</si>
  <si>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</si>
  <si>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</si>
  <si>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</si>
  <si>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</si>
  <si>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</si>
  <si>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</si>
  <si>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</si>
  <si>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</si>
  <si>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</si>
  <si>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</si>
  <si>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</si>
  <si>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</si>
  <si>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</si>
  <si>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</si>
  <si>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</si>
  <si>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</si>
  <si>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</si>
  <si>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</si>
  <si>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</si>
  <si>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</si>
  <si>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</si>
  <si>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</si>
  <si>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</si>
  <si>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</si>
  <si>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</si>
  <si>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</si>
  <si>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</si>
  <si>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</si>
  <si>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</si>
  <si>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</si>
  <si>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</si>
  <si>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</si>
  <si>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</si>
  <si>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</si>
  <si>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</si>
  <si>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</si>
  <si>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</si>
  <si>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</si>
  <si>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</si>
  <si>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</si>
  <si>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</si>
  <si>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</si>
  <si>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</si>
  <si>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</si>
  <si>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</si>
  <si>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</si>
  <si>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</si>
  <si>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</si>
  <si>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</si>
  <si>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</si>
  <si>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</si>
  <si>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</si>
  <si>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</si>
  <si>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</si>
  <si>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</si>
  <si>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</si>
  <si>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</si>
  <si>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</si>
  <si>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</si>
  <si>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</si>
  <si>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</si>
  <si>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</si>
  <si>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</si>
  <si>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</si>
  <si>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</si>
  <si>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</si>
  <si>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</si>
  <si>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</si>
  <si>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</si>
  <si>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</si>
  <si>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</si>
  <si>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</si>
  <si>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</si>
  <si>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</si>
  <si>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</si>
  <si>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</si>
  <si>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</si>
  <si>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</si>
  <si>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</si>
  <si>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</si>
  <si>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</si>
  <si>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Uma pergunta de negócio respondida a partir de uma análise de dados específica:</t>
  </si>
  <si>
    <t>Rótulos de Linha</t>
  </si>
  <si>
    <t>Total Geral</t>
  </si>
  <si>
    <t>Soma de Total Value</t>
  </si>
  <si>
    <t>Pergunta de negócio 1-</t>
  </si>
  <si>
    <t>2- Qual Faturamento Total de vendas de planos anuais separado por auto-renovação ou que nõa é por auto-renovação?</t>
  </si>
  <si>
    <t>Pergunt de negócio 3 - Total de vendas de assinaturas do EA-play</t>
  </si>
  <si>
    <t>Soma de EA Play Season Pass</t>
  </si>
  <si>
    <t>Soma de Minecraft Season Pass Price</t>
  </si>
  <si>
    <t>Pergunta de negócio 1- Qual é o faturamento total de vendas de planos  atuais (Contendo todas as assinaturas agregadas)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</si>
</sst>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9" borderId="0" xfId="0" applyFill="1"/>
  </cellXfs>
  <cellStyles count="3">
    <cellStyle name="Moeda" xfId="2" builtinId="4"/>
    <cellStyle name="Normal" xfId="0" builtinId="0"/>
    <cellStyle name="Título 1" xfId="1" builtinId="16"/>
  </cellStyles>
  <dxfs count="15">
    <dxf>
      <fill>
        <patternFill>
          <bgColor theme="9" tint="0.39994506668294322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Estilo de Segmentação de Dados 1" pivot="0" table="0" count="0" xr9:uid="{A43B5019-625E-413C-82BA-CA6A1CB6F319}"/>
    <tableStyle name="Estilo de Segmentação de Dados 2" pivot="0" table="0" count="0" xr9:uid="{3563815E-872B-4688-BA11-BDC5F0205D12}"/>
    <tableStyle name="Estilo de Segmentação de Dados 3" pivot="0" table="0" count="7" xr9:uid="{13D2E65F-C8AA-4EB4-852A-DBF5F32204B4}">
      <tableStyleElement type="wholeTable" dxfId="0"/>
    </tableStyle>
  </tableStyles>
  <colors>
    <mruColors>
      <color rgb="FFE0E0E0"/>
      <color rgb="FFCDCDCD"/>
      <color rgb="FF5BF6A8"/>
      <color rgb="FF22C55E"/>
      <color rgb="FFE8E6E9"/>
      <color rgb="FF00000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24">
        <dxf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2" tint="-0.2499465926084170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6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Dark6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[805d54f9-6d53-4246-bed7-4aa2da615923.xlsx]C̳álculos!tabela_annual_total_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45F6C940-33A7-43E7-8B15-D6042A1BE34F}" type="VALUE">
                  <a:rPr lang="en-US" sz="1500" b="1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pPr>
                    <a:defRPr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56FE9B85-9801-4717-B0B5-58EA713A119A}" type="VALUE">
                  <a:rPr lang="en-US" sz="1600"/>
                  <a:pPr>
                    <a:defRPr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4757529573887501E-2"/>
          <c:y val="0.11935131665617472"/>
          <c:w val="0.90563864724454901"/>
          <c:h val="0.869452308735029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5F6C940-33A7-43E7-8B15-D6042A1BE34F}" type="VALUE">
                      <a:rPr lang="en-US" sz="1500" b="1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pPr>
                        <a:defRPr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gradFill rotWithShape="1">
                  <a:gsLst>
                    <a:gs pos="0">
                      <a:schemeClr val="accent6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6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6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12700" cap="flat" cmpd="sng" algn="ctr">
                  <a:solidFill>
                    <a:schemeClr val="accent6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555-4DD8-ABE4-CA00795DB20D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6FE9B85-9801-4717-B0B5-58EA713A119A}" type="VALUE">
                      <a:rPr lang="en-US" sz="1600"/>
                      <a:pPr>
                        <a:defRPr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gradFill rotWithShape="1">
                  <a:gsLst>
                    <a:gs pos="0">
                      <a:schemeClr val="accent6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6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6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12700" cap="flat" cmpd="sng" algn="ctr">
                  <a:solidFill>
                    <a:schemeClr val="accent6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555-4DD8-ABE4-CA00795DB2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General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C-45CC-970E-1D6B6C4CB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788784"/>
        <c:axId val="1091789264"/>
      </c:barChart>
      <c:catAx>
        <c:axId val="109178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789264"/>
        <c:crosses val="autoZero"/>
        <c:auto val="1"/>
        <c:lblAlgn val="ctr"/>
        <c:lblOffset val="100"/>
        <c:noMultiLvlLbl val="0"/>
      </c:catAx>
      <c:valAx>
        <c:axId val="1091789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178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47624</xdr:colOff>
      <xdr:row>12</xdr:row>
      <xdr:rowOff>147827</xdr:rowOff>
    </xdr:from>
    <xdr:to>
      <xdr:col>4</xdr:col>
      <xdr:colOff>329021</xdr:colOff>
      <xdr:row>15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4" y="2576702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15</xdr:row>
      <xdr:rowOff>28575</xdr:rowOff>
    </xdr:from>
    <xdr:to>
      <xdr:col>6</xdr:col>
      <xdr:colOff>66675</xdr:colOff>
      <xdr:row>20</xdr:row>
      <xdr:rowOff>98298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303847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123825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572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37272</xdr:colOff>
      <xdr:row>3</xdr:row>
      <xdr:rowOff>30025</xdr:rowOff>
    </xdr:from>
    <xdr:to>
      <xdr:col>10</xdr:col>
      <xdr:colOff>217418</xdr:colOff>
      <xdr:row>13</xdr:row>
      <xdr:rowOff>111698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5E7B0694-5DBD-856C-1FF4-907693A68C01}"/>
            </a:ext>
          </a:extLst>
        </xdr:cNvPr>
        <xdr:cNvGrpSpPr/>
      </xdr:nvGrpSpPr>
      <xdr:grpSpPr>
        <a:xfrm>
          <a:off x="2519138" y="1009356"/>
          <a:ext cx="5009724" cy="1973257"/>
          <a:chOff x="4262436" y="976314"/>
          <a:chExt cx="3643313" cy="198528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84A463E9-2933-8B6F-27E0-B825ECEB6368}"/>
              </a:ext>
            </a:extLst>
          </xdr:cNvPr>
          <xdr:cNvSpPr/>
        </xdr:nvSpPr>
        <xdr:spPr>
          <a:xfrm>
            <a:off x="4262436" y="976314"/>
            <a:ext cx="3643313" cy="1702599"/>
          </a:xfrm>
          <a:prstGeom prst="roundRect">
            <a:avLst>
              <a:gd name="adj" fmla="val 6884"/>
            </a:avLst>
          </a:prstGeom>
          <a:solidFill>
            <a:schemeClr val="bg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5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2E454B1-AB2F-3DA7-9B0B-FAD0C988E19E}"/>
              </a:ext>
            </a:extLst>
          </xdr:cNvPr>
          <xdr:cNvSpPr/>
        </xdr:nvSpPr>
        <xdr:spPr>
          <a:xfrm>
            <a:off x="4307085" y="1094411"/>
            <a:ext cx="3562947" cy="1456556"/>
          </a:xfrm>
          <a:prstGeom prst="roundRect">
            <a:avLst>
              <a:gd name="adj" fmla="val 4249"/>
            </a:avLst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D46198D6-5EB2-4FD2-A6A8-0BDF700A34E7}" type="TxLink">
              <a:rPr lang="en-US" sz="4000" b="0" i="0" u="none" strike="noStrike">
                <a:solidFill>
                  <a:schemeClr val="accent6"/>
                </a:solidFill>
                <a:effectLst/>
                <a:latin typeface="Aptos Narrow"/>
                <a:ea typeface="+mn-ea"/>
                <a:cs typeface="+mn-cs"/>
              </a:rPr>
              <a:t>R$ 1.350,00</a:t>
            </a:fld>
            <a:endParaRPr lang="pt-BR" sz="4000">
              <a:solidFill>
                <a:schemeClr val="accent6"/>
              </a:solidFill>
              <a:latin typeface="+mj-lt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A2D2DCB-473B-40AD-8E55-B21C88DA88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26265" y="1742399"/>
            <a:ext cx="1309689" cy="12192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53714</xdr:colOff>
      <xdr:row>1</xdr:row>
      <xdr:rowOff>553899</xdr:rowOff>
    </xdr:from>
    <xdr:to>
      <xdr:col>10</xdr:col>
      <xdr:colOff>195428</xdr:colOff>
      <xdr:row>4</xdr:row>
      <xdr:rowOff>30024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F049D123-E29A-3462-C862-05664F50BA8B}"/>
            </a:ext>
          </a:extLst>
        </xdr:cNvPr>
        <xdr:cNvSpPr/>
      </xdr:nvSpPr>
      <xdr:spPr>
        <a:xfrm>
          <a:off x="2538497" y="740258"/>
          <a:ext cx="5028453" cy="356152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bg2"/>
              </a:solidFill>
            </a:rPr>
            <a:t>Total  Subscription EA Season Pass </a:t>
          </a:r>
        </a:p>
      </xdr:txBody>
    </xdr:sp>
    <xdr:clientData/>
  </xdr:twoCellAnchor>
  <xdr:twoCellAnchor>
    <xdr:from>
      <xdr:col>11</xdr:col>
      <xdr:colOff>314117</xdr:colOff>
      <xdr:row>1</xdr:row>
      <xdr:rowOff>527575</xdr:rowOff>
    </xdr:from>
    <xdr:to>
      <xdr:col>20</xdr:col>
      <xdr:colOff>448053</xdr:colOff>
      <xdr:row>12</xdr:row>
      <xdr:rowOff>22277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1A1B7E8B-7FAE-FACE-0ACB-F50362D93A1D}"/>
            </a:ext>
          </a:extLst>
        </xdr:cNvPr>
        <xdr:cNvGrpSpPr/>
      </xdr:nvGrpSpPr>
      <xdr:grpSpPr>
        <a:xfrm>
          <a:off x="8229258" y="715392"/>
          <a:ext cx="5406225" cy="1989984"/>
          <a:chOff x="8379968" y="770767"/>
          <a:chExt cx="5443617" cy="1987414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9F4DCE31-F45A-E292-7279-158C2F8F8E4A}"/>
              </a:ext>
            </a:extLst>
          </xdr:cNvPr>
          <xdr:cNvGrpSpPr/>
        </xdr:nvGrpSpPr>
        <xdr:grpSpPr>
          <a:xfrm>
            <a:off x="8379968" y="770767"/>
            <a:ext cx="5443617" cy="1987414"/>
            <a:chOff x="8548925" y="693668"/>
            <a:chExt cx="5469390" cy="1975519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954F78A3-BC49-E77E-AFA0-4673F9BBFFF8}"/>
                </a:ext>
              </a:extLst>
            </xdr:cNvPr>
            <xdr:cNvGrpSpPr/>
          </xdr:nvGrpSpPr>
          <xdr:grpSpPr>
            <a:xfrm>
              <a:off x="8551793" y="693668"/>
              <a:ext cx="5466522" cy="1975519"/>
              <a:chOff x="4351632" y="1074107"/>
              <a:chExt cx="3554117" cy="1604800"/>
            </a:xfrm>
          </xdr:grpSpPr>
          <xdr:sp macro="" textlink="">
            <xdr:nvSpPr>
              <xdr:cNvPr id="16" name="Retângulo: Cantos Arredondados 15">
                <a:extLst>
                  <a:ext uri="{FF2B5EF4-FFF2-40B4-BE49-F238E27FC236}">
                    <a16:creationId xmlns:a16="http://schemas.microsoft.com/office/drawing/2014/main" id="{6871F861-112A-C655-D828-076DC994F88F}"/>
                  </a:ext>
                </a:extLst>
              </xdr:cNvPr>
              <xdr:cNvSpPr/>
            </xdr:nvSpPr>
            <xdr:spPr>
              <a:xfrm>
                <a:off x="4351632" y="1074107"/>
                <a:ext cx="3554117" cy="1604800"/>
              </a:xfrm>
              <a:prstGeom prst="roundRect">
                <a:avLst>
                  <a:gd name="adj" fmla="val 6884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D34">
            <xdr:nvSpPr>
              <xdr:cNvPr id="17" name="Retângulo: Cantos Arredondados 16">
                <a:extLst>
                  <a:ext uri="{FF2B5EF4-FFF2-40B4-BE49-F238E27FC236}">
                    <a16:creationId xmlns:a16="http://schemas.microsoft.com/office/drawing/2014/main" id="{89744138-6060-1E66-7D0D-06476EE4DC73}"/>
                  </a:ext>
                </a:extLst>
              </xdr:cNvPr>
              <xdr:cNvSpPr/>
            </xdr:nvSpPr>
            <xdr:spPr>
              <a:xfrm>
                <a:off x="4400313" y="1410524"/>
                <a:ext cx="3474358" cy="1140443"/>
              </a:xfrm>
              <a:prstGeom prst="roundRect">
                <a:avLst>
                  <a:gd name="adj" fmla="val 4249"/>
                </a:avLst>
              </a:prstGeom>
              <a:noFill/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fld id="{3BA3381A-B6C1-4CCE-93A3-7799B6F697AF}" type="TxLink">
                  <a:rPr lang="en-US" sz="4000" b="0" i="0" u="none" strike="noStrike">
                    <a:solidFill>
                      <a:schemeClr val="accent6"/>
                    </a:solidFill>
                    <a:effectLst/>
                    <a:latin typeface="Aptos Narrow"/>
                    <a:ea typeface="+mn-ea"/>
                    <a:cs typeface="+mn-cs"/>
                  </a:rPr>
                  <a:t>R$ 1.800,00</a:t>
                </a:fld>
                <a:endParaRPr lang="pt-BR" sz="4000">
                  <a:solidFill>
                    <a:schemeClr val="accent6"/>
                  </a:solidFill>
                  <a:latin typeface="+mj-lt"/>
                </a:endParaRPr>
              </a:p>
            </xdr:txBody>
          </xdr:sp>
        </xdr:grpSp>
        <xdr:sp macro="" textlink="">
          <xdr:nvSpPr>
            <xdr:cNvPr id="15" name="Retângulo 14">
              <a:extLst>
                <a:ext uri="{FF2B5EF4-FFF2-40B4-BE49-F238E27FC236}">
                  <a16:creationId xmlns:a16="http://schemas.microsoft.com/office/drawing/2014/main" id="{7F5E530F-6C8A-995B-FFB5-85E30EF2573D}"/>
                </a:ext>
              </a:extLst>
            </xdr:cNvPr>
            <xdr:cNvSpPr/>
          </xdr:nvSpPr>
          <xdr:spPr>
            <a:xfrm>
              <a:off x="8548925" y="714375"/>
              <a:ext cx="5455883" cy="368923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600" b="1">
                  <a:solidFill>
                    <a:schemeClr val="bg2"/>
                  </a:solidFill>
                </a:rPr>
                <a:t>Total  Subscription Minecraft Season Pass 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B57CDAC1-DB66-474C-9E96-4E0273CEDC3B}"/>
              </a:ext>
            </a:extLst>
          </xdr:cNvPr>
          <xdr:cNvGrpSpPr/>
        </xdr:nvGrpSpPr>
        <xdr:grpSpPr>
          <a:xfrm>
            <a:off x="10538079" y="1918878"/>
            <a:ext cx="1250987" cy="633082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44347CF3-6EE6-3DBE-124D-A521D07A913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7F7D1CD7-F435-A105-6A83-91E731C421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11907</xdr:colOff>
      <xdr:row>13</xdr:row>
      <xdr:rowOff>119062</xdr:rowOff>
    </xdr:from>
    <xdr:to>
      <xdr:col>21</xdr:col>
      <xdr:colOff>134592</xdr:colOff>
      <xdr:row>35</xdr:row>
      <xdr:rowOff>134593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F0E0B275-3881-5475-C336-F8AB5E6FBF44}"/>
            </a:ext>
          </a:extLst>
        </xdr:cNvPr>
        <xdr:cNvGrpSpPr/>
      </xdr:nvGrpSpPr>
      <xdr:grpSpPr>
        <a:xfrm>
          <a:off x="2493773" y="2989977"/>
          <a:ext cx="11431946" cy="4147503"/>
          <a:chOff x="2464594" y="1012031"/>
          <a:chExt cx="5060155" cy="3167063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A64C607F-19E5-70E0-0560-F8A543FA3131}"/>
              </a:ext>
            </a:extLst>
          </xdr:cNvPr>
          <xdr:cNvSpPr/>
        </xdr:nvSpPr>
        <xdr:spPr>
          <a:xfrm>
            <a:off x="2464594" y="1012031"/>
            <a:ext cx="5060155" cy="3167063"/>
          </a:xfrm>
          <a:prstGeom prst="roundRect">
            <a:avLst>
              <a:gd name="adj" fmla="val 6893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FCDAF2EA-174A-451C-A536-2442AD69664E}"/>
              </a:ext>
            </a:extLst>
          </xdr:cNvPr>
          <xdr:cNvGraphicFramePr>
            <a:graphicFrameLocks/>
          </xdr:cNvGraphicFramePr>
        </xdr:nvGraphicFramePr>
        <xdr:xfrm>
          <a:off x="2930998" y="1178720"/>
          <a:ext cx="4367533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2</xdr:col>
      <xdr:colOff>112935</xdr:colOff>
      <xdr:row>14</xdr:row>
      <xdr:rowOff>43690</xdr:rowOff>
    </xdr:from>
    <xdr:to>
      <xdr:col>20</xdr:col>
      <xdr:colOff>590136</xdr:colOff>
      <xdr:row>16</xdr:row>
      <xdr:rowOff>27125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542511FB-5548-417C-9778-0C560C841BB5}"/>
            </a:ext>
          </a:extLst>
        </xdr:cNvPr>
        <xdr:cNvSpPr/>
      </xdr:nvSpPr>
      <xdr:spPr>
        <a:xfrm>
          <a:off x="2605648" y="3083584"/>
          <a:ext cx="11258690" cy="348222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bg2"/>
              </a:solidFill>
            </a:rPr>
            <a:t>Total  Subscription XBOX</a:t>
          </a:r>
          <a:r>
            <a:rPr lang="pt-BR" sz="1600" b="1" baseline="0">
              <a:solidFill>
                <a:schemeClr val="bg2"/>
              </a:solidFill>
            </a:rPr>
            <a:t> Game Pass</a:t>
          </a:r>
          <a:endParaRPr lang="pt-BR" sz="1600" b="1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22654</xdr:colOff>
      <xdr:row>0</xdr:row>
      <xdr:rowOff>0</xdr:rowOff>
    </xdr:from>
    <xdr:to>
      <xdr:col>20</xdr:col>
      <xdr:colOff>453059</xdr:colOff>
      <xdr:row>1</xdr:row>
      <xdr:rowOff>169793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279534A5-9A9B-406B-A8F9-1BC2586A475D}"/>
            </a:ext>
          </a:extLst>
        </xdr:cNvPr>
        <xdr:cNvSpPr/>
      </xdr:nvSpPr>
      <xdr:spPr>
        <a:xfrm>
          <a:off x="2108629" y="0"/>
          <a:ext cx="11631805" cy="360293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 u="none">
              <a:solidFill>
                <a:schemeClr val="bg2"/>
              </a:solidFill>
            </a:rPr>
            <a:t>XBOX</a:t>
          </a:r>
          <a:r>
            <a:rPr lang="pt-BR" sz="1600" b="1" u="none" baseline="0">
              <a:solidFill>
                <a:schemeClr val="bg2"/>
              </a:solidFill>
            </a:rPr>
            <a:t> GAME PASS SUBSCRIPTION SALES</a:t>
          </a:r>
          <a:endParaRPr lang="pt-BR" sz="1600" b="1" u="none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57726</xdr:colOff>
      <xdr:row>1</xdr:row>
      <xdr:rowOff>96212</xdr:rowOff>
    </xdr:from>
    <xdr:to>
      <xdr:col>13</xdr:col>
      <xdr:colOff>349696</xdr:colOff>
      <xdr:row>1</xdr:row>
      <xdr:rowOff>96212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70D35C87-019C-99BA-B13A-2409F177F841}"/>
            </a:ext>
          </a:extLst>
        </xdr:cNvPr>
        <xdr:cNvCxnSpPr/>
      </xdr:nvCxnSpPr>
      <xdr:spPr>
        <a:xfrm flipV="1">
          <a:off x="2145529" y="288636"/>
          <a:ext cx="7200000" cy="0"/>
        </a:xfrm>
        <a:prstGeom prst="line">
          <a:avLst/>
        </a:prstGeom>
        <a:ln w="38100">
          <a:solidFill>
            <a:schemeClr val="accent6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69055</xdr:colOff>
      <xdr:row>7</xdr:row>
      <xdr:rowOff>76201</xdr:rowOff>
    </xdr:from>
    <xdr:to>
      <xdr:col>0</xdr:col>
      <xdr:colOff>1897855</xdr:colOff>
      <xdr:row>20</xdr:row>
      <xdr:rowOff>78557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F45B7F89-B755-47A2-B7A4-B7689C846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55" y="1820215"/>
              <a:ext cx="1828800" cy="2443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363493</xdr:colOff>
      <xdr:row>0</xdr:row>
      <xdr:rowOff>111509</xdr:rowOff>
    </xdr:from>
    <xdr:to>
      <xdr:col>0</xdr:col>
      <xdr:colOff>1485255</xdr:colOff>
      <xdr:row>4</xdr:row>
      <xdr:rowOff>113009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E89F2B5E-EF83-48B2-8263-7069C776ABFA}"/>
            </a:ext>
          </a:extLst>
        </xdr:cNvPr>
        <xdr:cNvSpPr/>
      </xdr:nvSpPr>
      <xdr:spPr>
        <a:xfrm>
          <a:off x="363493" y="111509"/>
          <a:ext cx="1121762" cy="1067008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76200</xdr:colOff>
      <xdr:row>1</xdr:row>
      <xdr:rowOff>219074</xdr:rowOff>
    </xdr:from>
    <xdr:to>
      <xdr:col>10</xdr:col>
      <xdr:colOff>114300</xdr:colOff>
      <xdr:row>1</xdr:row>
      <xdr:rowOff>495299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056B6B78-9B69-967C-D79B-43DF67F35C6D}"/>
            </a:ext>
          </a:extLst>
        </xdr:cNvPr>
        <xdr:cNvSpPr/>
      </xdr:nvSpPr>
      <xdr:spPr>
        <a:xfrm>
          <a:off x="2162175" y="409574"/>
          <a:ext cx="53149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Calculation period: 01/01/2024 - 31/12/2024 | Update date: 15/01/2026 12:00:00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Felipe" refreshedDate="46036.434753009256" createdVersion="8" refreshedVersion="8" minRefreshableVersion="3" recordCount="295" xr:uid="{B186AB66-5EAD-4605-8755-0C5DCCA8E9D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181454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D851D-48A8-4BC4-8B3C-E412C11CA4C1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3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F83FE-D600-457F-864C-6F22E8A1A2A8}" name="tabela_annual_total_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048CF-60BC-4CAD-8DCE-72435462D8E1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1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1CF3D7E-0F2B-4317-8A16-0307EC01F253}" sourceName="Subscription Type">
  <pivotTables>
    <pivotTable tabId="3" name="tabela_annual_total_"/>
    <pivotTable tabId="3" name="Tabela dinâmica2"/>
    <pivotTable tabId="3" name="Tabela dinâmica5"/>
  </pivotTables>
  <data>
    <tabular pivotCacheId="1918145456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9DD4552-CD26-44DD-9ECF-F5662DC7109F}" cache="SegmentaçãodeDados_Subscription_Type" caption="Subscription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C13" sqref="C1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86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D34"/>
  <sheetViews>
    <sheetView showGridLines="0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t="s">
        <v>313</v>
      </c>
    </row>
    <row r="6" spans="2:3" x14ac:dyDescent="0.25">
      <c r="B6" t="s">
        <v>322</v>
      </c>
    </row>
    <row r="7" spans="2:3" x14ac:dyDescent="0.25">
      <c r="B7" t="s">
        <v>317</v>
      </c>
      <c r="C7" t="s">
        <v>318</v>
      </c>
    </row>
    <row r="10" spans="2:3" x14ac:dyDescent="0.25">
      <c r="B10" s="12" t="s">
        <v>16</v>
      </c>
      <c r="C10" t="s">
        <v>20</v>
      </c>
    </row>
    <row r="12" spans="2:3" x14ac:dyDescent="0.25">
      <c r="B12" s="12" t="s">
        <v>314</v>
      </c>
      <c r="C12" t="s">
        <v>316</v>
      </c>
    </row>
    <row r="13" spans="2:3" x14ac:dyDescent="0.25">
      <c r="B13" s="13" t="s">
        <v>23</v>
      </c>
      <c r="C13" s="14">
        <v>2824</v>
      </c>
    </row>
    <row r="14" spans="2:3" x14ac:dyDescent="0.25">
      <c r="B14" s="13" t="s">
        <v>19</v>
      </c>
      <c r="C14" s="14">
        <v>747</v>
      </c>
    </row>
    <row r="15" spans="2:3" x14ac:dyDescent="0.25">
      <c r="B15" s="13" t="s">
        <v>315</v>
      </c>
      <c r="C15" s="14">
        <v>3571</v>
      </c>
    </row>
    <row r="18" spans="2:4" x14ac:dyDescent="0.25">
      <c r="B18" s="13" t="s">
        <v>319</v>
      </c>
    </row>
    <row r="21" spans="2:4" x14ac:dyDescent="0.25">
      <c r="B21" s="12" t="s">
        <v>16</v>
      </c>
      <c r="C21" t="s">
        <v>20</v>
      </c>
    </row>
    <row r="23" spans="2:4" x14ac:dyDescent="0.25">
      <c r="B23" s="12" t="s">
        <v>314</v>
      </c>
      <c r="C23" t="s">
        <v>320</v>
      </c>
    </row>
    <row r="24" spans="2:4" x14ac:dyDescent="0.25">
      <c r="B24" s="13" t="s">
        <v>18</v>
      </c>
      <c r="C24" s="14">
        <v>1350</v>
      </c>
    </row>
    <row r="25" spans="2:4" x14ac:dyDescent="0.25">
      <c r="B25" s="13" t="s">
        <v>315</v>
      </c>
      <c r="C25" s="14">
        <v>1350</v>
      </c>
      <c r="D25" s="16">
        <f>GETPIVOTDATA("EA Play Season Pass
Price",$B$23,"Plan","Ultimate")</f>
        <v>1350</v>
      </c>
    </row>
    <row r="29" spans="2:4" x14ac:dyDescent="0.25">
      <c r="B29" s="12" t="s">
        <v>16</v>
      </c>
      <c r="C29" t="s">
        <v>20</v>
      </c>
    </row>
    <row r="31" spans="2:4" x14ac:dyDescent="0.25">
      <c r="B31" s="12" t="s">
        <v>314</v>
      </c>
      <c r="C31" t="s">
        <v>321</v>
      </c>
    </row>
    <row r="32" spans="2:4" x14ac:dyDescent="0.25">
      <c r="B32" s="13" t="s">
        <v>23</v>
      </c>
      <c r="C32" s="14">
        <v>1480</v>
      </c>
    </row>
    <row r="33" spans="2:4" x14ac:dyDescent="0.25">
      <c r="B33" s="13" t="s">
        <v>19</v>
      </c>
      <c r="C33" s="14">
        <v>320</v>
      </c>
    </row>
    <row r="34" spans="2:4" x14ac:dyDescent="0.25">
      <c r="B34" s="13" t="s">
        <v>315</v>
      </c>
      <c r="C34" s="14">
        <v>1800</v>
      </c>
      <c r="D34" s="17">
        <f>GETPIVOTDATA("Minecraft Season Pass Price",$B$31)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topLeftCell="A5" zoomScale="71" zoomScaleNormal="166" workbookViewId="0">
      <selection activeCell="X32" sqref="X32"/>
    </sheetView>
  </sheetViews>
  <sheetFormatPr defaultRowHeight="15" x14ac:dyDescent="0.25"/>
  <cols>
    <col min="1" max="1" width="31.28515625" style="18" customWidth="1"/>
    <col min="2" max="2" width="6" style="15" customWidth="1"/>
    <col min="3" max="11" width="9.140625" style="15"/>
    <col min="12" max="12" width="6.5703125" style="15" customWidth="1"/>
    <col min="13" max="16384" width="9.140625" style="15"/>
  </cols>
  <sheetData>
    <row r="2" ht="54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Carlos Felipe</cp:lastModifiedBy>
  <dcterms:created xsi:type="dcterms:W3CDTF">2024-12-19T13:13:10Z</dcterms:created>
  <dcterms:modified xsi:type="dcterms:W3CDTF">2026-01-15T15:50:12Z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